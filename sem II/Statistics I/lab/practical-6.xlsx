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<sst xmlns="http://schemas.openxmlformats.org/spreadsheetml/2006/main" count="36" uniqueCount="32">
  <si>
    <t xml:space="preserve">Compute five number summary and construct Box - Whishker plot for given data.</t>
  </si>
  <si>
    <t xml:space="preserve">Solution:-Calculation for five number summary and Box Whishker plot.</t>
  </si>
  <si>
    <t xml:space="preserve">For </t>
  </si>
  <si>
    <t xml:space="preserve">Value</t>
  </si>
  <si>
    <t xml:space="preserve">Formula</t>
  </si>
  <si>
    <r>
      <rPr>
        <sz val="12"/>
        <color theme="1"/>
        <rFont val="Times New Roman"/>
        <family val="1"/>
        <charset val="1"/>
      </rPr>
      <t xml:space="preserve">Q</t>
    </r>
    <r>
      <rPr>
        <vertAlign val="subscript"/>
        <sz val="12"/>
        <color theme="1"/>
        <rFont val="Times New Roman"/>
        <family val="1"/>
        <charset val="1"/>
      </rPr>
      <t xml:space="preserve">1</t>
    </r>
    <r>
      <rPr>
        <sz val="12"/>
        <color theme="1"/>
        <rFont val="Times New Roman"/>
        <family val="1"/>
        <charset val="1"/>
      </rPr>
      <t xml:space="preserve"> =</t>
    </r>
  </si>
  <si>
    <r>
      <rPr>
        <sz val="12"/>
        <color theme="1"/>
        <rFont val="Times New Roman"/>
        <family val="1"/>
        <charset val="1"/>
      </rPr>
      <t xml:space="preserve">X</t>
    </r>
    <r>
      <rPr>
        <vertAlign val="subscript"/>
        <sz val="12"/>
        <color theme="1"/>
        <rFont val="Times New Roman"/>
        <family val="1"/>
        <charset val="1"/>
      </rPr>
      <t xml:space="preserve">S</t>
    </r>
    <r>
      <rPr>
        <sz val="12"/>
        <color theme="1"/>
        <rFont val="Times New Roman"/>
        <family val="1"/>
        <charset val="1"/>
      </rPr>
      <t xml:space="preserve"> =</t>
    </r>
  </si>
  <si>
    <r>
      <rPr>
        <sz val="12"/>
        <color theme="1"/>
        <rFont val="Times New Roman"/>
        <family val="1"/>
        <charset val="1"/>
      </rPr>
      <t xml:space="preserve">Q</t>
    </r>
    <r>
      <rPr>
        <vertAlign val="subscript"/>
        <sz val="12"/>
        <color theme="1"/>
        <rFont val="Times New Roman"/>
        <family val="1"/>
        <charset val="1"/>
      </rPr>
      <t xml:space="preserve">2</t>
    </r>
    <r>
      <rPr>
        <sz val="12"/>
        <color theme="1"/>
        <rFont val="Times New Roman"/>
        <family val="1"/>
        <charset val="1"/>
      </rPr>
      <t xml:space="preserve"> =</t>
    </r>
  </si>
  <si>
    <r>
      <rPr>
        <sz val="12"/>
        <color theme="1"/>
        <rFont val="Times New Roman"/>
        <family val="1"/>
        <charset val="1"/>
      </rPr>
      <t xml:space="preserve">X</t>
    </r>
    <r>
      <rPr>
        <vertAlign val="subscript"/>
        <sz val="12"/>
        <color theme="1"/>
        <rFont val="Times New Roman"/>
        <family val="1"/>
        <charset val="1"/>
      </rPr>
      <t xml:space="preserve">L</t>
    </r>
    <r>
      <rPr>
        <sz val="12"/>
        <color theme="1"/>
        <rFont val="Times New Roman"/>
        <family val="1"/>
        <charset val="1"/>
      </rPr>
      <t xml:space="preserve"> =</t>
    </r>
  </si>
  <si>
    <r>
      <rPr>
        <sz val="12"/>
        <color theme="1"/>
        <rFont val="Times New Roman"/>
        <family val="1"/>
        <charset val="1"/>
      </rPr>
      <t xml:space="preserve">Q</t>
    </r>
    <r>
      <rPr>
        <vertAlign val="subscript"/>
        <sz val="12"/>
        <color theme="1"/>
        <rFont val="Times New Roman"/>
        <family val="1"/>
        <charset val="1"/>
      </rPr>
      <t xml:space="preserve">3</t>
    </r>
    <r>
      <rPr>
        <sz val="12"/>
        <color theme="1"/>
        <rFont val="Times New Roman"/>
        <family val="1"/>
        <charset val="1"/>
      </rPr>
      <t xml:space="preserve"> =</t>
    </r>
  </si>
  <si>
    <t xml:space="preserve">Name:-Kishor Neupane</t>
  </si>
  <si>
    <t xml:space="preserve">Roll no:-8130030</t>
  </si>
  <si>
    <t xml:space="preserve">Construct Pie Chart for given data of Export from Nepal.</t>
  </si>
  <si>
    <t xml:space="preserve">To</t>
  </si>
  <si>
    <t xml:space="preserve">Amount</t>
  </si>
  <si>
    <t xml:space="preserve">AUS</t>
  </si>
  <si>
    <t xml:space="preserve">China</t>
  </si>
  <si>
    <t xml:space="preserve">India</t>
  </si>
  <si>
    <t xml:space="preserve">Ban</t>
  </si>
  <si>
    <t xml:space="preserve">Eng</t>
  </si>
  <si>
    <t xml:space="preserve">USA</t>
  </si>
  <si>
    <t xml:space="preserve">Solution:-Construction of Pie Chart </t>
  </si>
  <si>
    <t xml:space="preserve">Construct Histogram from given data.</t>
  </si>
  <si>
    <t xml:space="preserve">Weight</t>
  </si>
  <si>
    <t xml:space="preserve">No. of stu.</t>
  </si>
  <si>
    <t xml:space="preserve"> 10 - 20</t>
  </si>
  <si>
    <t xml:space="preserve">20 - 30</t>
  </si>
  <si>
    <t xml:space="preserve">30 - 40</t>
  </si>
  <si>
    <t xml:space="preserve"> 40 - 50</t>
  </si>
  <si>
    <t xml:space="preserve">50 - 60 </t>
  </si>
  <si>
    <t xml:space="preserve">60 - 70</t>
  </si>
  <si>
    <t xml:space="preserve">Solution :- Construction of Histogram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</si>
</sst>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b val="true"/>
      <u val="single"/>
      <sz val="12"/>
      <color theme="1"/>
      <name val="Times New Roman"/>
      <family val="1"/>
      <charset val="1"/>
    </font>
    <font>
      <vertAlign val="subscript"/>
      <sz val="12"/>
      <color theme="1"/>
      <name val="Times New Roman"/>
      <family val="1"/>
      <charset val="1"/>
    </font>
    <font>
      <sz val="12"/>
      <color theme="1"/>
      <name val="Times New Roman"/>
      <family val="1"/>
    </font>
    <font>
      <b val="true"/>
      <sz val="16"/>
      <color rgb="FF808080"/>
      <name val="Aptos Display"/>
      <family val="2"/>
    </font>
    <font>
      <sz val="9"/>
      <color rgb="FF404040"/>
      <name val="Aptos Narrow"/>
      <family val="2"/>
    </font>
    <font>
      <sz val="9"/>
      <color rgb="FF595959"/>
      <name val="Aptos Narrow"/>
      <family val="2"/>
    </font>
    <font>
      <b val="true"/>
      <sz val="12"/>
      <color theme="1"/>
      <name val="Times New Roman"/>
      <family val="1"/>
      <charset val="1"/>
    </font>
    <font>
      <b val="true"/>
      <sz val="18"/>
      <color rgb="FF595959"/>
      <name val="Aptos Narrow"/>
      <family val="2"/>
    </font>
    <font>
      <b val="true"/>
      <sz val="18"/>
      <color rgb="FF000000"/>
      <name val="Aptos Narrow"/>
      <family val="2"/>
    </font>
    <font>
      <b val="true"/>
      <sz val="9"/>
      <color rgb="FFFFFFFF"/>
      <name val="Aptos Narrow"/>
      <family val="2"/>
    </font>
    <font>
      <sz val="14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5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747474"/>
      <rgbColor rgb="FF969696"/>
      <rgbColor rgb="FF003366"/>
      <rgbColor rgb="FF4EA72E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-1" strike="noStrike">
                <a:solidFill>
                  <a:srgbClr val="808080"/>
                </a:solidFill>
                <a:latin typeface="Aptos Display"/>
              </a:defRPr>
            </a:pPr>
            <a:r>
              <a:rPr b="1" lang="en-US" sz="1600" spc="-1" strike="noStrike">
                <a:solidFill>
                  <a:srgbClr val="808080"/>
                </a:solidFill>
                <a:latin typeface="Aptos Display"/>
              </a:rPr>
              <a:t>BOX-WHISHKER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Q1 =</c:v>
                </c:pt>
              </c:strCache>
            </c:strRef>
          </c:tx>
          <c:spPr>
            <a:solidFill>
              <a:srgbClr val="156082"/>
            </a:solidFill>
            <a:ln cap="rnd" w="2232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Sheet1!$D$6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XS =</c:v>
                </c:pt>
              </c:strCache>
            </c:strRef>
          </c:tx>
          <c:spPr>
            <a:solidFill>
              <a:srgbClr val="e97132"/>
            </a:solidFill>
            <a:ln cap="rnd" w="2232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Sheet1!$D$7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Sheet1!$C$8</c:f>
              <c:strCache>
                <c:ptCount val="1"/>
                <c:pt idx="0">
                  <c:v>Q2 =</c:v>
                </c:pt>
              </c:strCache>
            </c:strRef>
          </c:tx>
          <c:spPr>
            <a:solidFill>
              <a:srgbClr val="196b24"/>
            </a:solidFill>
            <a:ln cap="rnd" w="2232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Sheet1!$D$8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Sheet1!$C$9</c:f>
              <c:strCache>
                <c:ptCount val="1"/>
                <c:pt idx="0">
                  <c:v>XL =</c:v>
                </c:pt>
              </c:strCache>
            </c:strRef>
          </c:tx>
          <c:spPr>
            <a:solidFill>
              <a:srgbClr val="0f9ed5"/>
            </a:solidFill>
            <a:ln cap="rnd" w="22320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Sheet1!$D$9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Sheet1!$C$10</c:f>
              <c:strCache>
                <c:ptCount val="1"/>
                <c:pt idx="0">
                  <c:v>Q3 =</c:v>
                </c:pt>
              </c:strCache>
            </c:strRef>
          </c:tx>
          <c:spPr>
            <a:solidFill>
              <a:srgbClr val="a02b93"/>
            </a:solidFill>
            <a:ln cap="rnd" w="22320">
              <a:solidFill>
                <a:srgbClr val="a02b93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Sheet1!$D$10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19954"/>
        <c:axId val="34324337"/>
      </c:lineChart>
      <c:catAx>
        <c:axId val="681995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>
                  <a:alpha val="54000"/>
                </a:srgbClr>
              </a:solidFill>
              <a:round/>
            </a:ln>
          </c:spPr>
        </c:majorGridlines>
        <c:minorGridlines>
          <c:spPr>
            <a:ln w="9360">
              <a:solidFill>
                <a:srgbClr val="d9d9d9">
                  <a:alpha val="51000"/>
                </a:srgbClr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4324337"/>
        <c:crosses val="autoZero"/>
        <c:auto val="1"/>
        <c:lblAlgn val="ctr"/>
        <c:lblOffset val="100"/>
        <c:noMultiLvlLbl val="0"/>
      </c:catAx>
      <c:valAx>
        <c:axId val="343243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>
                  <a:alpha val="54000"/>
                </a:srgb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819954"/>
        <c:crosses val="autoZero"/>
        <c:crossBetween val="between"/>
      </c:valAx>
      <c:spPr>
        <a:pattFill prst="ltDnDiag">
          <a:fgClr>
            <a:srgbClr val="d9d9d9"/>
          </a:fgClr>
          <a:bgClr>
            <a:srgbClr val="ffffff"/>
          </a:bgClr>
        </a:patt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595959"/>
                </a:solidFill>
                <a:latin typeface="Aptos Narrow"/>
              </a:defRPr>
            </a:pPr>
            <a:r>
              <a:rPr b="1" lang="en-US" sz="1800" spc="-1" strike="noStrike">
                <a:solidFill>
                  <a:srgbClr val="595959"/>
                </a:solidFill>
                <a:latin typeface="Aptos Narrow"/>
              </a:rPr>
              <a:t>PIE-CHART SHOWING EXPORT FROM
NEPAL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713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96b24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f9ed5"/>
              </a:solidFill>
              <a:ln w="0">
                <a:noFill/>
              </a:ln>
            </c:spPr>
          </c:dPt>
          <c:dPt>
            <c:idx val="4"/>
            <c:spPr>
              <a:solidFill>
                <a:srgbClr val="a02b93"/>
              </a:solidFill>
              <a:ln w="0">
                <a:noFill/>
              </a:ln>
            </c:spPr>
          </c:dPt>
          <c:dPt>
            <c:idx val="5"/>
            <c:spPr>
              <a:solidFill>
                <a:srgbClr val="4ea72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Aptos Narrow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Sheet2!$B$3:$B$8</c:f>
              <c:strCache>
                <c:ptCount val="6"/>
                <c:pt idx="0">
                  <c:v>AUS</c:v>
                </c:pt>
                <c:pt idx="1">
                  <c:v>China</c:v>
                </c:pt>
                <c:pt idx="2">
                  <c:v>India</c:v>
                </c:pt>
                <c:pt idx="3">
                  <c:v>Ban</c:v>
                </c:pt>
                <c:pt idx="4">
                  <c:v>Eng</c:v>
                </c:pt>
                <c:pt idx="5">
                  <c:v>USA</c:v>
                </c:pt>
              </c:strCache>
            </c:strRef>
          </c:cat>
          <c:val>
            <c:numRef>
              <c:f>Sheet2!$C$3:$C$8</c:f>
              <c:numCache>
                <c:formatCode>General</c:formatCode>
                <c:ptCount val="6"/>
                <c:pt idx="0">
                  <c:v>130</c:v>
                </c:pt>
                <c:pt idx="1">
                  <c:v>120</c:v>
                </c:pt>
                <c:pt idx="2">
                  <c:v>300</c:v>
                </c:pt>
                <c:pt idx="3">
                  <c:v>225</c:v>
                </c:pt>
                <c:pt idx="4">
                  <c:v>90</c:v>
                </c:pt>
                <c:pt idx="5">
                  <c:v>125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solidFill>
          <a:srgbClr val="ffffff">
            <a:alpha val="78000"/>
          </a:srgbClr>
        </a:solidFill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pattFill prst="ltDnDiag">
      <a:fgClr>
        <a:srgbClr val="f2f2f2"/>
      </a:fgClr>
      <a:bgClr>
        <a:srgbClr val="ffffff"/>
      </a:bgClr>
    </a:patt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Weight of Student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Sheet3!$B$3:$B$8</c:f>
              <c:strCache>
                <c:ptCount val="6"/>
                <c:pt idx="0">
                  <c:v> 10 - 20</c:v>
                </c:pt>
                <c:pt idx="1">
                  <c:v>20 - 30</c:v>
                </c:pt>
                <c:pt idx="2">
                  <c:v>30 - 40</c:v>
                </c:pt>
                <c:pt idx="3">
                  <c:v> 40 - 50</c:v>
                </c:pt>
                <c:pt idx="4">
                  <c:v>50 - 60 </c:v>
                </c:pt>
                <c:pt idx="5">
                  <c:v>60 - 70</c:v>
                </c:pt>
              </c:strCache>
            </c:strRef>
          </c:cat>
          <c:val>
            <c:numRef>
              <c:f>Sheet3!$C$3:$C$8</c:f>
              <c:numCache>
                <c:formatCode>General</c:formatCode>
                <c:ptCount val="6"/>
                <c:pt idx="0">
                  <c:v>3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8</c:v>
                </c:pt>
                <c:pt idx="5">
                  <c:v>3</c:v>
                </c:pt>
              </c:numCache>
            </c:numRef>
          </c:val>
        </c:ser>
        <c:gapWidth val="2"/>
        <c:overlap val="-27"/>
        <c:axId val="13295751"/>
        <c:axId val="60272519"/>
      </c:barChart>
      <c:catAx>
        <c:axId val="132957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0272519"/>
        <c:crosses val="autoZero"/>
        <c:auto val="1"/>
        <c:lblAlgn val="ctr"/>
        <c:lblOffset val="100"/>
        <c:noMultiLvlLbl val="0"/>
      </c:catAx>
      <c:valAx>
        <c:axId val="6027251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32957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639000</xdr:colOff>
      <xdr:row>13</xdr:row>
      <xdr:rowOff>138600</xdr:rowOff>
    </xdr:from>
    <xdr:to>
      <xdr:col>8</xdr:col>
      <xdr:colOff>349200</xdr:colOff>
      <xdr:row>26</xdr:row>
      <xdr:rowOff>141120</xdr:rowOff>
    </xdr:to>
    <xdr:graphicFrame>
      <xdr:nvGraphicFramePr>
        <xdr:cNvPr id="0" name="Chart 1"/>
        <xdr:cNvGraphicFramePr/>
      </xdr:nvGraphicFramePr>
      <xdr:xfrm>
        <a:off x="639000" y="2443680"/>
        <a:ext cx="5399640" cy="247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3</xdr:col>
      <xdr:colOff>502920</xdr:colOff>
      <xdr:row>18</xdr:row>
      <xdr:rowOff>147240</xdr:rowOff>
    </xdr:from>
    <xdr:to>
      <xdr:col>5</xdr:col>
      <xdr:colOff>563760</xdr:colOff>
      <xdr:row>18</xdr:row>
      <xdr:rowOff>147240</xdr:rowOff>
    </xdr:to>
    <xdr:cxnSp>
      <xdr:nvCxnSpPr>
        <xdr:cNvPr id="1" name="Straight Connector 3"/>
        <xdr:cNvCxnSpPr/>
      </xdr:nvCxnSpPr>
      <xdr:spPr>
        <a:xfrm>
          <a:off x="2636640" y="3404880"/>
          <a:ext cx="1483560" cy="360"/>
        </a:xfrm>
        <a:prstGeom prst="straightConnector1">
          <a:avLst/>
        </a:prstGeom>
        <a:ln w="19050">
          <a:solidFill>
            <a:srgbClr val="000000"/>
          </a:solidFill>
          <a:miter/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7560</xdr:colOff>
      <xdr:row>9</xdr:row>
      <xdr:rowOff>13320</xdr:rowOff>
    </xdr:from>
    <xdr:to>
      <xdr:col>8</xdr:col>
      <xdr:colOff>317880</xdr:colOff>
      <xdr:row>22</xdr:row>
      <xdr:rowOff>172080</xdr:rowOff>
    </xdr:to>
    <xdr:graphicFrame>
      <xdr:nvGraphicFramePr>
        <xdr:cNvPr id="2" name="Chart 1"/>
        <xdr:cNvGraphicFramePr/>
      </xdr:nvGraphicFramePr>
      <xdr:xfrm>
        <a:off x="718920" y="1728000"/>
        <a:ext cx="5288400" cy="263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7560</xdr:colOff>
      <xdr:row>9</xdr:row>
      <xdr:rowOff>167760</xdr:rowOff>
    </xdr:from>
    <xdr:to>
      <xdr:col>8</xdr:col>
      <xdr:colOff>312120</xdr:colOff>
      <xdr:row>23</xdr:row>
      <xdr:rowOff>136800</xdr:rowOff>
    </xdr:to>
    <xdr:graphicFrame>
      <xdr:nvGraphicFramePr>
        <xdr:cNvPr id="3" name="Chart 1"/>
        <xdr:cNvGraphicFramePr/>
      </xdr:nvGraphicFramePr>
      <xdr:xfrm>
        <a:off x="718920" y="1882440"/>
        <a:ext cx="5318280" cy="263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true" showOutlineSymbols="true" defaultGridColor="true" view="normal" topLeftCell="A18" colorId="64" zoomScale="119" zoomScaleNormal="119" zoomScalePageLayoutView="100" workbookViewId="0">
      <selection pane="topLeft" activeCell="H30" activeCellId="0" sqref="H30"/>
    </sheetView>
  </sheetViews>
  <sheetFormatPr defaultColWidth="8.890625" defaultRowHeight="15" zeroHeight="false" outlineLevelRow="0" outlineLevelCol="0"/>
  <cols>
    <col collapsed="false" customWidth="false" hidden="false" outlineLevel="0" max="16384" min="1" style="1" width="8.8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n">
        <v>22</v>
      </c>
      <c r="B2" s="2" t="n">
        <v>18</v>
      </c>
      <c r="C2" s="2" t="n">
        <v>25</v>
      </c>
      <c r="D2" s="2" t="n">
        <v>35</v>
      </c>
      <c r="E2" s="2" t="n">
        <v>27</v>
      </c>
      <c r="F2" s="2" t="n">
        <v>40</v>
      </c>
      <c r="G2" s="2" t="n">
        <v>32</v>
      </c>
      <c r="H2" s="2" t="n">
        <v>35</v>
      </c>
      <c r="I2" s="2" t="n">
        <v>30</v>
      </c>
    </row>
    <row r="3" customFormat="false" ht="9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C5" s="4" t="s">
        <v>2</v>
      </c>
      <c r="D5" s="4" t="s">
        <v>3</v>
      </c>
      <c r="E5" s="4" t="s">
        <v>4</v>
      </c>
    </row>
    <row r="6" customFormat="false" ht="15" hidden="false" customHeight="false" outlineLevel="0" collapsed="false">
      <c r="C6" s="5" t="s">
        <v>5</v>
      </c>
      <c r="D6" s="5" t="n">
        <f aca="false">QUARTILE(A2:I2,1)</f>
        <v>25</v>
      </c>
      <c r="E6" s="6" t="str">
        <f aca="false">_xlfn.FORMULATEXT(D6)</f>
        <v>=QUARTILE(A2:I2,1)</v>
      </c>
      <c r="F6" s="6"/>
      <c r="G6" s="5"/>
    </row>
    <row r="7" customFormat="false" ht="15" hidden="false" customHeight="false" outlineLevel="0" collapsed="false">
      <c r="C7" s="5" t="s">
        <v>6</v>
      </c>
      <c r="D7" s="5" t="n">
        <f aca="false">MIN(A2:I2)</f>
        <v>18</v>
      </c>
      <c r="E7" s="6" t="str">
        <f aca="false">_xlfn.FORMULATEXT(D7)</f>
        <v>=MIN(A2:I2)</v>
      </c>
      <c r="F7" s="6"/>
      <c r="G7" s="5"/>
    </row>
    <row r="8" customFormat="false" ht="15" hidden="false" customHeight="false" outlineLevel="0" collapsed="false">
      <c r="C8" s="5" t="s">
        <v>7</v>
      </c>
      <c r="D8" s="5" t="n">
        <f aca="false">QUARTILE(A2:I2,2)</f>
        <v>30</v>
      </c>
      <c r="E8" s="6" t="str">
        <f aca="false">_xlfn.FORMULATEXT(D8)</f>
        <v>=QUARTILE(A2:I2,2)</v>
      </c>
      <c r="F8" s="6"/>
      <c r="G8" s="5"/>
    </row>
    <row r="9" customFormat="false" ht="15" hidden="false" customHeight="false" outlineLevel="0" collapsed="false">
      <c r="C9" s="5" t="s">
        <v>8</v>
      </c>
      <c r="D9" s="5" t="n">
        <f aca="false">MAX(A2:I2)</f>
        <v>40</v>
      </c>
      <c r="E9" s="6" t="str">
        <f aca="false">_xlfn.FORMULATEXT(D9)</f>
        <v>=MAX(A2:I2)</v>
      </c>
      <c r="F9" s="6"/>
      <c r="G9" s="5"/>
    </row>
    <row r="10" customFormat="false" ht="15" hidden="false" customHeight="false" outlineLevel="0" collapsed="false">
      <c r="C10" s="5" t="s">
        <v>9</v>
      </c>
      <c r="D10" s="5" t="n">
        <f aca="false">QUARTILE(A2:I2,3)</f>
        <v>35</v>
      </c>
      <c r="E10" s="6" t="str">
        <f aca="false">_xlfn.FORMULATEXT(D10)</f>
        <v>=QUARTILE(A2:I2,3)</v>
      </c>
      <c r="F10" s="6"/>
      <c r="G10" s="5"/>
    </row>
    <row r="12" customFormat="false" ht="7.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</row>
    <row r="29" customFormat="false" ht="15" hidden="false" customHeight="false" outlineLevel="0" collapsed="false">
      <c r="F29" s="7" t="s">
        <v>10</v>
      </c>
    </row>
    <row r="30" customFormat="false" ht="15" hidden="false" customHeight="false" outlineLevel="0" collapsed="false">
      <c r="F30" s="7" t="s">
        <v>11</v>
      </c>
    </row>
  </sheetData>
  <printOptions headings="true" gridLines="true" gridLinesSet="true" horizontalCentered="false" verticalCentered="false"/>
  <pageMargins left="0.7" right="0.7" top="0.75" bottom="0.75" header="0.511811023622047" footer="0.511811023622047"/>
  <pageSetup paperSize="1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21" colorId="64" zoomScale="119" zoomScaleNormal="119" zoomScalePageLayoutView="100" workbookViewId="0">
      <selection pane="topLeft" activeCell="H26" activeCellId="0" sqref="H26"/>
    </sheetView>
  </sheetViews>
  <sheetFormatPr defaultColWidth="8.890625" defaultRowHeight="15" zeroHeight="false" outlineLevelRow="0" outlineLevelCol="0"/>
  <cols>
    <col collapsed="false" customWidth="false" hidden="false" outlineLevel="0" max="16384" min="1" style="1" width="8.89"/>
  </cols>
  <sheetData>
    <row r="1" customFormat="false" ht="15" hidden="false" customHeight="false" outlineLevel="0" collapsed="false">
      <c r="A1" s="1" t="s">
        <v>12</v>
      </c>
    </row>
    <row r="2" customFormat="false" ht="15" hidden="false" customHeight="false" outlineLevel="0" collapsed="false">
      <c r="B2" s="8" t="s">
        <v>13</v>
      </c>
      <c r="C2" s="8" t="s">
        <v>14</v>
      </c>
    </row>
    <row r="3" customFormat="false" ht="15" hidden="false" customHeight="false" outlineLevel="0" collapsed="false">
      <c r="B3" s="2" t="s">
        <v>15</v>
      </c>
      <c r="C3" s="2" t="n">
        <v>130</v>
      </c>
    </row>
    <row r="4" customFormat="false" ht="15" hidden="false" customHeight="false" outlineLevel="0" collapsed="false">
      <c r="B4" s="2" t="s">
        <v>16</v>
      </c>
      <c r="C4" s="2" t="n">
        <v>120</v>
      </c>
    </row>
    <row r="5" customFormat="false" ht="15" hidden="false" customHeight="false" outlineLevel="0" collapsed="false">
      <c r="B5" s="2" t="s">
        <v>17</v>
      </c>
      <c r="C5" s="2" t="n">
        <v>300</v>
      </c>
    </row>
    <row r="6" customFormat="false" ht="15" hidden="false" customHeight="false" outlineLevel="0" collapsed="false">
      <c r="B6" s="2" t="s">
        <v>18</v>
      </c>
      <c r="C6" s="2" t="n">
        <v>225</v>
      </c>
    </row>
    <row r="7" customFormat="false" ht="15" hidden="false" customHeight="false" outlineLevel="0" collapsed="false">
      <c r="B7" s="2" t="s">
        <v>19</v>
      </c>
      <c r="C7" s="2" t="n">
        <v>90</v>
      </c>
    </row>
    <row r="8" customFormat="false" ht="15" hidden="false" customHeight="false" outlineLevel="0" collapsed="false">
      <c r="B8" s="2" t="s">
        <v>20</v>
      </c>
      <c r="C8" s="2" t="n">
        <v>125</v>
      </c>
    </row>
    <row r="9" customFormat="false" ht="15" hidden="false" customHeight="false" outlineLevel="0" collapsed="false">
      <c r="A9" s="1" t="s">
        <v>21</v>
      </c>
    </row>
    <row r="25" customFormat="false" ht="15" hidden="false" customHeight="false" outlineLevel="0" collapsed="false">
      <c r="F25" s="7" t="s">
        <v>10</v>
      </c>
    </row>
    <row r="26" customFormat="false" ht="15" hidden="false" customHeight="false" outlineLevel="0" collapsed="false">
      <c r="F26" s="7" t="s">
        <v>11</v>
      </c>
    </row>
  </sheetData>
  <printOptions headings="true" gridLines="true" gridLinesSet="true" horizontalCentered="false" verticalCentered="false"/>
  <pageMargins left="0.7" right="0.7" top="0.75" bottom="0.75" header="0.511811023622047" footer="0.511811023622047"/>
  <pageSetup paperSize="1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0" colorId="64" zoomScale="119" zoomScaleNormal="119" zoomScalePageLayoutView="100" workbookViewId="0">
      <selection pane="topLeft" activeCell="H28" activeCellId="0" sqref="H28"/>
    </sheetView>
  </sheetViews>
  <sheetFormatPr defaultColWidth="8.890625" defaultRowHeight="15" zeroHeight="false" outlineLevelRow="0" outlineLevelCol="0"/>
  <cols>
    <col collapsed="false" customWidth="false" hidden="false" outlineLevel="0" max="2" min="1" style="1" width="8.89"/>
    <col collapsed="false" customWidth="true" hidden="false" outlineLevel="0" max="3" min="3" style="1" width="9.33"/>
    <col collapsed="false" customWidth="false" hidden="false" outlineLevel="0" max="16384" min="4" style="1" width="8.89"/>
  </cols>
  <sheetData>
    <row r="1" customFormat="false" ht="15" hidden="false" customHeight="false" outlineLevel="0" collapsed="false">
      <c r="A1" s="1" t="s">
        <v>22</v>
      </c>
    </row>
    <row r="2" customFormat="false" ht="15" hidden="false" customHeight="false" outlineLevel="0" collapsed="false">
      <c r="B2" s="8" t="s">
        <v>23</v>
      </c>
      <c r="C2" s="8" t="s">
        <v>24</v>
      </c>
    </row>
    <row r="3" customFormat="false" ht="15" hidden="false" customHeight="false" outlineLevel="0" collapsed="false">
      <c r="B3" s="9" t="s">
        <v>25</v>
      </c>
      <c r="C3" s="2" t="n">
        <v>3</v>
      </c>
    </row>
    <row r="4" customFormat="false" ht="15" hidden="false" customHeight="false" outlineLevel="0" collapsed="false">
      <c r="B4" s="2" t="s">
        <v>26</v>
      </c>
      <c r="C4" s="2" t="n">
        <v>7</v>
      </c>
    </row>
    <row r="5" customFormat="false" ht="15" hidden="false" customHeight="false" outlineLevel="0" collapsed="false">
      <c r="B5" s="2" t="s">
        <v>27</v>
      </c>
      <c r="C5" s="2" t="n">
        <v>9</v>
      </c>
    </row>
    <row r="6" customFormat="false" ht="15" hidden="false" customHeight="false" outlineLevel="0" collapsed="false">
      <c r="B6" s="2" t="s">
        <v>28</v>
      </c>
      <c r="C6" s="2" t="n">
        <v>13</v>
      </c>
    </row>
    <row r="7" customFormat="false" ht="15" hidden="false" customHeight="false" outlineLevel="0" collapsed="false">
      <c r="B7" s="2" t="s">
        <v>29</v>
      </c>
      <c r="C7" s="2" t="n">
        <v>8</v>
      </c>
    </row>
    <row r="8" customFormat="false" ht="15" hidden="false" customHeight="false" outlineLevel="0" collapsed="false">
      <c r="B8" s="2" t="s">
        <v>30</v>
      </c>
      <c r="C8" s="2" t="n">
        <v>3</v>
      </c>
    </row>
    <row r="9" customFormat="false" ht="15" hidden="false" customHeight="false" outlineLevel="0" collapsed="false">
      <c r="A9" s="1" t="s">
        <v>31</v>
      </c>
      <c r="B9" s="5"/>
    </row>
    <row r="27" customFormat="false" ht="15" hidden="false" customHeight="false" outlineLevel="0" collapsed="false">
      <c r="F27" s="7" t="s">
        <v>10</v>
      </c>
    </row>
    <row r="28" customFormat="false" ht="15" hidden="false" customHeight="false" outlineLevel="0" collapsed="false">
      <c r="F28" s="7" t="s">
        <v>11</v>
      </c>
    </row>
  </sheetData>
  <printOptions headings="true" gridLines="true" gridLinesSet="true" horizontalCentered="false" verticalCentered="false"/>
  <pageMargins left="0.7" right="0.7" top="0.75" bottom="0.75" header="0.511811023622047" footer="0.511811023622047"/>
  <pageSetup paperSize="1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2025-06-04T07:26:15Z</dcterms:created>
  <dc:creator>Roshan Thakur</dc:creator>
  <dc:description/>
  <dc:language>en-US</dc:language>
  <cp:lastModifiedBy/>
  <cp:lastPrinted>2025-06-04T08:14:57Z</cp:lastPrinted>
  <dcterms:modified xsi:type="dcterms:W3CDTF">2025-06-04T20:37:53Z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